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urchase Register" sheetId="2" state="visible" r:id="rId2"/>
    <sheet xmlns:r="http://schemas.openxmlformats.org/officeDocument/2006/relationships" name="GSTR-2A" sheetId="3" state="visible" r:id="rId3"/>
    <sheet xmlns:r="http://schemas.openxmlformats.org/officeDocument/2006/relationships" name="GSTR-2B" sheetId="4" state="visible" r:id="rId4"/>
    <sheet xmlns:r="http://schemas.openxmlformats.org/officeDocument/2006/relationships" name="Reconciliation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2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1A2B3C"/>
      <sz val="9"/>
    </font>
    <font>
      <name val="Arial"/>
      <i val="1"/>
      <color rgb="00023C6C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023C6C"/>
      <sz val="10"/>
    </font>
    <font>
      <name val="Arial"/>
      <b val="1"/>
      <color rgb="00023C6C"/>
      <sz val="9"/>
    </font>
    <font>
      <name val="Arial"/>
      <b val="1"/>
      <color rgb="001A2B3C"/>
      <sz val="9"/>
    </font>
    <font>
      <name val="Arial"/>
      <b val="1"/>
      <color rgb="00C0392B"/>
      <sz val="9"/>
    </font>
    <font>
      <name val="Arial"/>
      <b val="1"/>
      <color rgb="00E67E22"/>
      <sz val="9"/>
    </font>
    <font>
      <name val="Arial"/>
      <b val="1"/>
      <color rgb="00023C6C"/>
      <sz val="11"/>
    </font>
    <font>
      <name val="Arial"/>
      <b val="1"/>
      <color rgb="00034F8C"/>
      <sz val="10"/>
    </font>
    <font>
      <name val="Arial"/>
      <b val="1"/>
      <color rgb="00034F8C"/>
      <sz val="11"/>
    </font>
    <font>
      <name val="Arial"/>
      <b val="1"/>
      <color rgb="006C3483"/>
      <sz val="10"/>
    </font>
    <font>
      <name val="Arial"/>
      <b val="1"/>
      <color rgb="006C3483"/>
      <sz val="11"/>
    </font>
    <font>
      <name val="Arial"/>
      <color rgb="00FFFFFF"/>
      <sz val="10"/>
    </font>
    <font>
      <name val="Arial"/>
      <b val="1"/>
      <color rgb="00FFFFFF"/>
      <sz val="11"/>
    </font>
    <font>
      <name val="Arial"/>
      <b val="1"/>
      <color rgb="0066AC4C"/>
      <sz val="10"/>
    </font>
    <font>
      <name val="Arial"/>
      <b val="1"/>
      <color rgb="0066AC4C"/>
      <sz val="11"/>
    </font>
    <font>
      <name val="Arial"/>
      <color rgb="0066AC4C"/>
      <sz val="10"/>
    </font>
    <font>
      <name val="Arial"/>
      <color rgb="006C3483"/>
      <sz val="10"/>
    </font>
    <font>
      <name val="Arial"/>
      <b val="1"/>
      <color rgb="00C0392B"/>
      <sz val="10"/>
    </font>
    <font>
      <name val="Arial"/>
      <b val="1"/>
      <color rgb="00C0392B"/>
      <sz val="11"/>
    </font>
    <font>
      <name val="Arial"/>
      <color rgb="00E67E22"/>
      <sz val="10"/>
    </font>
    <font>
      <name val="Arial"/>
      <b val="1"/>
      <color rgb="00E67E22"/>
      <sz val="11"/>
    </font>
    <font>
      <name val="Arial"/>
      <i val="1"/>
      <color rgb="004A6070"/>
      <sz val="8"/>
    </font>
  </fonts>
  <fills count="14">
    <fill>
      <patternFill/>
    </fill>
    <fill>
      <patternFill patternType="gray125"/>
    </fill>
    <fill>
      <patternFill patternType="solid">
        <fgColor rgb="00023C6C"/>
      </patternFill>
    </fill>
    <fill>
      <patternFill patternType="solid">
        <fgColor rgb="00034F8C"/>
      </patternFill>
    </fill>
    <fill>
      <patternFill patternType="solid">
        <fgColor rgb="0066AC4C"/>
      </patternFill>
    </fill>
    <fill>
      <patternFill patternType="solid">
        <fgColor rgb="00F5F8FC"/>
      </patternFill>
    </fill>
    <fill>
      <patternFill patternType="solid">
        <fgColor rgb="006C3483"/>
      </patternFill>
    </fill>
    <fill>
      <patternFill patternType="solid">
        <fgColor rgb="00EBF2F9"/>
      </patternFill>
    </fill>
    <fill>
      <patternFill patternType="solid">
        <fgColor rgb="00FFFFFF"/>
      </patternFill>
    </fill>
    <fill>
      <patternFill patternType="solid">
        <fgColor rgb="00EEF7EB"/>
      </patternFill>
    </fill>
    <fill>
      <patternFill patternType="solid">
        <fgColor rgb="00FFF0F0"/>
      </patternFill>
    </fill>
    <fill>
      <patternFill patternType="solid">
        <fgColor rgb="00FFFBF0"/>
      </patternFill>
    </fill>
    <fill>
      <patternFill patternType="solid">
        <fgColor rgb="00F5EEF8"/>
      </patternFill>
    </fill>
    <fill>
      <patternFill patternType="solid">
        <fgColor rgb="00C0392B"/>
      </patternFill>
    </fill>
  </fills>
  <borders count="4">
    <border>
      <left/>
      <right/>
      <top/>
      <bottom/>
      <diagonal/>
    </border>
    <border>
      <left style="thin">
        <color rgb="00D0DBE8"/>
      </left>
      <right style="thin">
        <color rgb="00D0DBE8"/>
      </right>
      <top style="thin">
        <color rgb="00D0DBE8"/>
      </top>
      <bottom style="thin">
        <color rgb="00D0DBE8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023C6C"/>
      </left>
      <right style="medium">
        <color rgb="00023C6C"/>
      </right>
      <top style="medium">
        <color rgb="00023C6C"/>
      </top>
      <bottom style="medium">
        <color rgb="00023C6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4" fontId="4" fillId="8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8" fillId="7" borderId="0" applyAlignment="1" pivotButton="0" quotePrefix="0" xfId="0">
      <alignment horizontal="center" vertical="center" wrapText="1"/>
    </xf>
    <xf numFmtId="4" fontId="8" fillId="7" borderId="3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4" fontId="4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4" fontId="4" fillId="10" borderId="1" applyAlignment="1" pivotButton="0" quotePrefix="0" xfId="0">
      <alignment horizontal="right" vertical="center"/>
    </xf>
    <xf numFmtId="4" fontId="11" fillId="10" borderId="1" applyAlignment="1" pivotButton="0" quotePrefix="0" xfId="0">
      <alignment horizontal="right" vertical="center"/>
    </xf>
    <xf numFmtId="4" fontId="10" fillId="10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4" fontId="4" fillId="11" borderId="1" applyAlignment="1" pivotButton="0" quotePrefix="0" xfId="0">
      <alignment horizontal="right" vertical="center"/>
    </xf>
    <xf numFmtId="4" fontId="10" fillId="11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4" fontId="4" fillId="12" borderId="1" applyAlignment="1" pivotButton="0" quotePrefix="0" xfId="0">
      <alignment horizontal="right" vertical="center"/>
    </xf>
    <xf numFmtId="4" fontId="12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164" fontId="13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164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wrapText="1"/>
    </xf>
    <xf numFmtId="164" fontId="17" fillId="8" borderId="1" applyAlignment="1" pivotButton="0" quotePrefix="0" xfId="0">
      <alignment horizontal="center" vertical="center" wrapText="1"/>
    </xf>
    <xf numFmtId="0" fontId="18" fillId="8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center" vertical="center" wrapText="1"/>
    </xf>
    <xf numFmtId="0" fontId="20" fillId="9" borderId="1" applyAlignment="1" pivotButton="0" quotePrefix="0" xfId="0">
      <alignment horizontal="left" vertical="center" wrapText="1"/>
    </xf>
    <xf numFmtId="164" fontId="21" fillId="9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left" vertical="center" wrapText="1"/>
    </xf>
    <xf numFmtId="0" fontId="23" fillId="12" borderId="1" applyAlignment="1" pivotButton="0" quotePrefix="0" xfId="0">
      <alignment horizontal="left" vertical="center" wrapText="1"/>
    </xf>
    <xf numFmtId="164" fontId="17" fillId="12" borderId="1" applyAlignment="1" pivotButton="0" quotePrefix="0" xfId="0">
      <alignment horizontal="center" vertical="center" wrapText="1"/>
    </xf>
    <xf numFmtId="0" fontId="24" fillId="10" borderId="1" applyAlignment="1" pivotButton="0" quotePrefix="0" xfId="0">
      <alignment horizontal="left" vertical="center" wrapText="1"/>
    </xf>
    <xf numFmtId="164" fontId="25" fillId="1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164" fontId="27" fillId="11" borderId="1" applyAlignment="1" pivotButton="0" quotePrefix="0" xfId="0">
      <alignment horizontal="center" vertical="center" wrapText="1"/>
    </xf>
    <xf numFmtId="0" fontId="3" fillId="13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23C6C"/>
    <outlinePr summaryBelow="1" summaryRight="1"/>
    <pageSetUpPr/>
  </sheetPr>
  <dimension ref="B1:C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58" customWidth="1" min="3" max="3"/>
    <col width="2" customWidth="1" min="4" max="4"/>
  </cols>
  <sheetData>
    <row r="1" ht="22" customHeight="1">
      <c r="B1" s="1" t="inlineStr">
        <is>
          <t>GST Reconciliation Tool — 2A &amp; 2B vs Purchase Register</t>
        </is>
      </c>
    </row>
    <row r="2" ht="22" customHeight="1"/>
    <row r="3" ht="15" customHeight="1">
      <c r="B3" s="2" t="inlineStr">
        <is>
          <t>Bhavna &amp; Co. | Chartered Accountants | info@bhavnaandco.com | bhavnaandco.com</t>
        </is>
      </c>
    </row>
    <row r="4" ht="8" customHeight="1"/>
    <row r="5" ht="14" customHeight="1">
      <c r="B5" s="3" t="inlineStr">
        <is>
          <t xml:space="preserve">  STEP 1 — Purchase Register</t>
        </is>
      </c>
    </row>
    <row r="6" ht="52" customHeight="1">
      <c r="B6" s="4" t="inlineStr">
        <is>
          <t>Go to the 'Purchase Register' sheet. Paste your data from row 4 onwards.
Columns needed: Supplier Name, GSTIN, Invoice Number, Invoice Date, Taxable Value, IGST, CGST, SGST.
Export from Tally: Gateway &gt; Display &gt; Account Books &gt; Purchase Register &gt; Excel.
Export from Zoho Books: Reports &gt; Purchase &gt; Purchase Detail Report &gt; Export Excel.</t>
        </is>
      </c>
    </row>
    <row r="8" ht="14" customHeight="1">
      <c r="B8" s="5" t="inlineStr">
        <is>
          <t xml:space="preserve">  STEP 2 — GSTR-2A Data</t>
        </is>
      </c>
    </row>
    <row r="9" ht="52" customHeight="1">
      <c r="B9" s="4" t="inlineStr">
        <is>
          <t>Go to the 'GSTR-2A' sheet. Paste GSTR-2A data downloaded from the GST portal.
GST Portal path: Returns Dashboard &gt; Auto-drafted ITC &gt; GSTR-2A &gt; Download Excel.</t>
        </is>
      </c>
    </row>
    <row r="11" ht="14" customHeight="1">
      <c r="B11" s="6" t="inlineStr">
        <is>
          <t xml:space="preserve">  STEP 3 — GSTR-2B Data</t>
        </is>
      </c>
    </row>
    <row r="12" ht="52" customHeight="1">
      <c r="B12" s="4" t="inlineStr">
        <is>
          <t>Go to the 'GSTR-2B' sheet. Paste GSTR-2B data downloaded from the GST portal.
GST Portal path: Returns Dashboard &gt; Auto-drafted ITC &gt; GSTR-2B &gt; Download Excel.
GSTR-2B is auto-drafted and finalised — more reliable for ITC claims than 2A.</t>
        </is>
      </c>
    </row>
    <row r="14" ht="14" customHeight="1">
      <c r="B14" s="3" t="inlineStr">
        <is>
          <t xml:space="preserve">  STEP 4 — Run Reconciliation</t>
        </is>
      </c>
    </row>
    <row r="15" ht="52" customHeight="1">
      <c r="B15" s="4" t="inlineStr">
        <is>
          <t>Go to the 'Reconciliation' sheet.
The sheet compares your Purchase Register against both 2A and 2B.
Rows are colour coded: Green = Matched | Red = Missing in 2A/2B | Amber = Excess in 2A/2B | Purple = Value mismatch.</t>
        </is>
      </c>
    </row>
    <row r="17" ht="14" customHeight="1">
      <c r="B17" s="5" t="inlineStr">
        <is>
          <t xml:space="preserve">  STEP 5 — Read the Summary</t>
        </is>
      </c>
    </row>
    <row r="18" ht="52" customHeight="1">
      <c r="B18" s="4" t="inlineStr">
        <is>
          <t>Go to the 'Summary' sheet for a one-page view.
Shows: Total ITC as per PR | ITC matched in 2A | ITC matched in 2B | ITC at risk | Actions required.
Share this sheet with your CA or use it for your monthly ITC review.</t>
        </is>
      </c>
    </row>
    <row r="20" ht="8" customHeight="1"/>
    <row r="21" ht="28" customHeight="1">
      <c r="B21" s="7" t="inlineStr">
        <is>
          <t>IMPORTANT: This tool uses sample data to show you the format. Clear rows 4 onwards in each data sheet and paste your actual data. All processing is local — no data is sent to any server.</t>
        </is>
      </c>
    </row>
  </sheetData>
  <mergeCells count="13">
    <mergeCell ref="B6:C6"/>
    <mergeCell ref="B21:C21"/>
    <mergeCell ref="B15:C15"/>
    <mergeCell ref="B11:C11"/>
    <mergeCell ref="B3:C3"/>
    <mergeCell ref="B5:C5"/>
    <mergeCell ref="B1:C2"/>
    <mergeCell ref="B14:C14"/>
    <mergeCell ref="B17:C17"/>
    <mergeCell ref="B9:C9"/>
    <mergeCell ref="B8:C8"/>
    <mergeCell ref="B18:C1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6AC4C"/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30" customHeight="1">
      <c r="A1" s="8" t="inlineStr">
        <is>
          <t>PURCHASE REGISTER — Paste your data from row 4 onwards</t>
        </is>
      </c>
    </row>
    <row r="2" ht="16" customHeight="1">
      <c r="A2" s="9" t="inlineStr">
        <is>
          <t>Export from Tally / Zoho Books / your accounting software. Required: GSTIN, Invoice No, Date, Tax values.</t>
        </is>
      </c>
    </row>
    <row r="3" ht="28" customHeight="1">
      <c r="A3" s="10" t="inlineStr">
        <is>
          <t>#</t>
        </is>
      </c>
      <c r="B3" s="10" t="inlineStr">
        <is>
          <t>Supplier Name</t>
        </is>
      </c>
      <c r="C3" s="10" t="inlineStr">
        <is>
          <t>GSTIN of Supplier</t>
        </is>
      </c>
      <c r="D3" s="10" t="inlineStr">
        <is>
          <t>Invoice Number</t>
        </is>
      </c>
      <c r="E3" s="10" t="inlineStr">
        <is>
          <t>Invoice Date</t>
        </is>
      </c>
      <c r="F3" s="10" t="inlineStr">
        <is>
          <t>Taxable Value (₹)</t>
        </is>
      </c>
      <c r="G3" s="10" t="inlineStr">
        <is>
          <t>IGST (₹)</t>
        </is>
      </c>
      <c r="H3" s="10" t="inlineStr">
        <is>
          <t>CGST (₹)</t>
        </is>
      </c>
      <c r="I3" s="10" t="inlineStr">
        <is>
          <t>SGST (₹)</t>
        </is>
      </c>
      <c r="J3" s="10" t="inlineStr">
        <is>
          <t>Total ITC (₹)</t>
        </is>
      </c>
    </row>
    <row r="4" ht="18" customHeight="1">
      <c r="A4" s="11" t="n">
        <v>1</v>
      </c>
      <c r="B4" s="12" t="inlineStr">
        <is>
          <t>ABC Traders</t>
        </is>
      </c>
      <c r="C4" s="12" t="inlineStr">
        <is>
          <t>36AABCT1332L1Z7</t>
        </is>
      </c>
      <c r="D4" s="12" t="inlineStr">
        <is>
          <t>INV/2024/001</t>
        </is>
      </c>
      <c r="E4" s="12" t="inlineStr">
        <is>
          <t>01-04-2024</t>
        </is>
      </c>
      <c r="F4" s="13" t="n">
        <v>50000</v>
      </c>
      <c r="G4" s="13" t="n">
        <v>0</v>
      </c>
      <c r="H4" s="13" t="n">
        <v>4500</v>
      </c>
      <c r="I4" s="13" t="n">
        <v>4500</v>
      </c>
      <c r="J4" s="12">
        <f>G4+H4+I4</f>
        <v/>
      </c>
    </row>
    <row r="5" ht="18" customHeight="1">
      <c r="A5" s="14" t="n">
        <v>2</v>
      </c>
      <c r="B5" s="4" t="inlineStr">
        <is>
          <t>XYZ Supplies</t>
        </is>
      </c>
      <c r="C5" s="4" t="inlineStr">
        <is>
          <t>36AABCX5678M1Z3</t>
        </is>
      </c>
      <c r="D5" s="4" t="inlineStr">
        <is>
          <t>XYZ/24-25/045</t>
        </is>
      </c>
      <c r="E5" s="4" t="inlineStr">
        <is>
          <t>03-04-2024</t>
        </is>
      </c>
      <c r="F5" s="15" t="n">
        <v>25000</v>
      </c>
      <c r="G5" s="15" t="n">
        <v>4500</v>
      </c>
      <c r="H5" s="15" t="n">
        <v>0</v>
      </c>
      <c r="I5" s="15" t="n">
        <v>0</v>
      </c>
      <c r="J5" s="4">
        <f>G5+H5+I5</f>
        <v/>
      </c>
    </row>
    <row r="6" ht="18" customHeight="1">
      <c r="A6" s="11" t="n">
        <v>3</v>
      </c>
      <c r="B6" s="12" t="inlineStr">
        <is>
          <t>PQR Enterprises</t>
        </is>
      </c>
      <c r="C6" s="12" t="inlineStr">
        <is>
          <t>36AABCP9012N1Z1</t>
        </is>
      </c>
      <c r="D6" s="12" t="inlineStr">
        <is>
          <t>PQR-2024-112</t>
        </is>
      </c>
      <c r="E6" s="12" t="inlineStr">
        <is>
          <t>05-04-2024</t>
        </is>
      </c>
      <c r="F6" s="13" t="n">
        <v>75000</v>
      </c>
      <c r="G6" s="13" t="n">
        <v>13500</v>
      </c>
      <c r="H6" s="13" t="n">
        <v>0</v>
      </c>
      <c r="I6" s="13" t="n">
        <v>0</v>
      </c>
      <c r="J6" s="12">
        <f>G6+H6+I6</f>
        <v/>
      </c>
    </row>
    <row r="7" ht="18" customHeight="1">
      <c r="A7" s="14" t="n">
        <v>4</v>
      </c>
      <c r="B7" s="4" t="inlineStr">
        <is>
          <t>LMN Solutions</t>
        </is>
      </c>
      <c r="C7" s="4" t="inlineStr">
        <is>
          <t>36AABCL3456Q1Z5</t>
        </is>
      </c>
      <c r="D7" s="4" t="inlineStr">
        <is>
          <t>LMN/APR/078</t>
        </is>
      </c>
      <c r="E7" s="4" t="inlineStr">
        <is>
          <t>08-04-2024</t>
        </is>
      </c>
      <c r="F7" s="15" t="n">
        <v>30000</v>
      </c>
      <c r="G7" s="15" t="n">
        <v>0</v>
      </c>
      <c r="H7" s="15" t="n">
        <v>2700</v>
      </c>
      <c r="I7" s="15" t="n">
        <v>2700</v>
      </c>
      <c r="J7" s="4">
        <f>G7+H7+I7</f>
        <v/>
      </c>
    </row>
    <row r="8" ht="18" customHeight="1">
      <c r="A8" s="11" t="n">
        <v>5</v>
      </c>
      <c r="B8" s="12" t="inlineStr">
        <is>
          <t>DEF Industries</t>
        </is>
      </c>
      <c r="C8" s="12" t="inlineStr">
        <is>
          <t>36AABCD7890R1Z9</t>
        </is>
      </c>
      <c r="D8" s="12" t="inlineStr">
        <is>
          <t>DEF-24-056</t>
        </is>
      </c>
      <c r="E8" s="12" t="inlineStr">
        <is>
          <t>10-04-2024</t>
        </is>
      </c>
      <c r="F8" s="13" t="n">
        <v>45000</v>
      </c>
      <c r="G8" s="13" t="n">
        <v>8100</v>
      </c>
      <c r="H8" s="13" t="n">
        <v>0</v>
      </c>
      <c r="I8" s="13" t="n">
        <v>0</v>
      </c>
      <c r="J8" s="12">
        <f>G8+H8+I8</f>
        <v/>
      </c>
    </row>
    <row r="9" ht="22" customHeight="1">
      <c r="A9" s="16" t="inlineStr">
        <is>
          <t>TOTAL</t>
        </is>
      </c>
      <c r="F9" s="17">
        <f>SUM(F4:F8)</f>
        <v/>
      </c>
      <c r="G9" s="17">
        <f>SUM(G4:G8)</f>
        <v/>
      </c>
      <c r="H9" s="17">
        <f>SUM(H4:H8)</f>
        <v/>
      </c>
      <c r="I9" s="17">
        <f>SUM(I4:I8)</f>
        <v/>
      </c>
      <c r="J9" s="17">
        <f>SUM(J4:J8)</f>
        <v/>
      </c>
    </row>
  </sheetData>
  <mergeCells count="3">
    <mergeCell ref="A1:J1"/>
    <mergeCell ref="A9:E9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34F8C"/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30" customHeight="1">
      <c r="A1" s="8" t="inlineStr">
        <is>
          <t>GSTR-2A DATA — Paste portal download from row 4 onwards</t>
        </is>
      </c>
    </row>
    <row r="2" ht="16" customHeight="1">
      <c r="A2" s="9" t="inlineStr">
        <is>
          <t>GST Portal: Returns Dashboard &gt; Auto-drafted ITC &gt; GSTR-2A &gt; Download Excel. Paste all invoice rows here.</t>
        </is>
      </c>
    </row>
    <row r="3" ht="28" customHeight="1">
      <c r="A3" s="18" t="inlineStr">
        <is>
          <t>#</t>
        </is>
      </c>
      <c r="B3" s="18" t="inlineStr">
        <is>
          <t>Supplier Name</t>
        </is>
      </c>
      <c r="C3" s="18" t="inlineStr">
        <is>
          <t>GSTIN of Supplier</t>
        </is>
      </c>
      <c r="D3" s="18" t="inlineStr">
        <is>
          <t>Invoice Number</t>
        </is>
      </c>
      <c r="E3" s="18" t="inlineStr">
        <is>
          <t>Invoice Date</t>
        </is>
      </c>
      <c r="F3" s="18" t="inlineStr">
        <is>
          <t>Taxable Value (₹)</t>
        </is>
      </c>
      <c r="G3" s="18" t="inlineStr">
        <is>
          <t>IGST (₹)</t>
        </is>
      </c>
      <c r="H3" s="18" t="inlineStr">
        <is>
          <t>CGST (₹)</t>
        </is>
      </c>
      <c r="I3" s="18" t="inlineStr">
        <is>
          <t>SGST (₹)</t>
        </is>
      </c>
      <c r="J3" s="18" t="inlineStr">
        <is>
          <t>Total ITC (₹)</t>
        </is>
      </c>
    </row>
    <row r="4" ht="18" customHeight="1">
      <c r="A4" s="11" t="n">
        <v>1</v>
      </c>
      <c r="B4" s="12" t="inlineStr">
        <is>
          <t>ABC Traders</t>
        </is>
      </c>
      <c r="C4" s="12" t="inlineStr">
        <is>
          <t>36AABCT1332L1Z7</t>
        </is>
      </c>
      <c r="D4" s="12" t="inlineStr">
        <is>
          <t>INV/2024/001</t>
        </is>
      </c>
      <c r="E4" s="12" t="inlineStr">
        <is>
          <t>01-04-2024</t>
        </is>
      </c>
      <c r="F4" s="13" t="n">
        <v>50000</v>
      </c>
      <c r="G4" s="13" t="n">
        <v>0</v>
      </c>
      <c r="H4" s="13" t="n">
        <v>4500</v>
      </c>
      <c r="I4" s="13" t="n">
        <v>4500</v>
      </c>
      <c r="J4" s="12">
        <f>G4+H4+I4</f>
        <v/>
      </c>
    </row>
    <row r="5" ht="18" customHeight="1">
      <c r="A5" s="14" t="n">
        <v>2</v>
      </c>
      <c r="B5" s="4" t="inlineStr">
        <is>
          <t>XYZ Supplies</t>
        </is>
      </c>
      <c r="C5" s="4" t="inlineStr">
        <is>
          <t>36AABCX5678M1Z3</t>
        </is>
      </c>
      <c r="D5" s="4" t="inlineStr">
        <is>
          <t>XYZ/24-25/045</t>
        </is>
      </c>
      <c r="E5" s="4" t="inlineStr">
        <is>
          <t>03-04-2024</t>
        </is>
      </c>
      <c r="F5" s="15" t="n">
        <v>25000</v>
      </c>
      <c r="G5" s="15" t="n">
        <v>4500</v>
      </c>
      <c r="H5" s="15" t="n">
        <v>0</v>
      </c>
      <c r="I5" s="15" t="n">
        <v>0</v>
      </c>
      <c r="J5" s="4">
        <f>G5+H5+I5</f>
        <v/>
      </c>
    </row>
    <row r="6" ht="18" customHeight="1">
      <c r="A6" s="11" t="n">
        <v>3</v>
      </c>
      <c r="B6" s="12" t="inlineStr">
        <is>
          <t>PQR Enterprises</t>
        </is>
      </c>
      <c r="C6" s="12" t="inlineStr">
        <is>
          <t>36AABCP9012N1Z1</t>
        </is>
      </c>
      <c r="D6" s="12" t="inlineStr">
        <is>
          <t>PQR-2024-112</t>
        </is>
      </c>
      <c r="E6" s="12" t="inlineStr">
        <is>
          <t>05-04-2024</t>
        </is>
      </c>
      <c r="F6" s="13" t="n">
        <v>75000</v>
      </c>
      <c r="G6" s="13" t="n">
        <v>13500</v>
      </c>
      <c r="H6" s="13" t="n">
        <v>0</v>
      </c>
      <c r="I6" s="13" t="n">
        <v>0</v>
      </c>
      <c r="J6" s="12">
        <f>G6+H6+I6</f>
        <v/>
      </c>
    </row>
    <row r="7" ht="18" customHeight="1">
      <c r="A7" s="14" t="n">
        <v>4</v>
      </c>
      <c r="B7" s="4" t="inlineStr">
        <is>
          <t>GHI Traders</t>
        </is>
      </c>
      <c r="C7" s="4" t="inlineStr">
        <is>
          <t>36AABCG1234S1Z2</t>
        </is>
      </c>
      <c r="D7" s="4" t="inlineStr">
        <is>
          <t>GHI/APR/033</t>
        </is>
      </c>
      <c r="E7" s="4" t="inlineStr">
        <is>
          <t>12-04-2024</t>
        </is>
      </c>
      <c r="F7" s="15" t="n">
        <v>20000</v>
      </c>
      <c r="G7" s="15" t="n">
        <v>0</v>
      </c>
      <c r="H7" s="15" t="n">
        <v>1800</v>
      </c>
      <c r="I7" s="15" t="n">
        <v>1800</v>
      </c>
      <c r="J7" s="4">
        <f>G7+H7+I7</f>
        <v/>
      </c>
    </row>
    <row r="8" ht="22" customHeight="1">
      <c r="A8" s="16" t="inlineStr">
        <is>
          <t>TOTAL</t>
        </is>
      </c>
      <c r="F8" s="17">
        <f>SUM(F4:F7)</f>
        <v/>
      </c>
      <c r="G8" s="17">
        <f>SUM(G4:G7)</f>
        <v/>
      </c>
      <c r="H8" s="17">
        <f>SUM(H4:H7)</f>
        <v/>
      </c>
      <c r="I8" s="17">
        <f>SUM(I4:I7)</f>
        <v/>
      </c>
      <c r="J8" s="17">
        <f>SUM(J4:J7)</f>
        <v/>
      </c>
    </row>
  </sheetData>
  <mergeCells count="3">
    <mergeCell ref="A8:E8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3483"/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3" customWidth="1" min="5" max="5"/>
    <col width="16" customWidth="1" min="6" max="6"/>
    <col width="13" customWidth="1" min="7" max="7"/>
    <col width="13" customWidth="1" min="8" max="8"/>
    <col width="13" customWidth="1" min="9" max="9"/>
    <col width="15" customWidth="1" min="10" max="10"/>
  </cols>
  <sheetData>
    <row r="1" ht="30" customHeight="1">
      <c r="A1" s="8" t="inlineStr">
        <is>
          <t>GSTR-2B DATA — Paste portal download from row 4 onwards</t>
        </is>
      </c>
    </row>
    <row r="2" ht="16" customHeight="1">
      <c r="A2" s="9" t="inlineStr">
        <is>
          <t>GST Portal: Returns Dashboard &gt; Auto-drafted ITC &gt; GSTR-2B &gt; Download Excel. 2B is finalised — more reliable for ITC claims.</t>
        </is>
      </c>
    </row>
    <row r="3" ht="28" customHeight="1">
      <c r="A3" s="19" t="inlineStr">
        <is>
          <t>#</t>
        </is>
      </c>
      <c r="B3" s="19" t="inlineStr">
        <is>
          <t>Supplier Name</t>
        </is>
      </c>
      <c r="C3" s="19" t="inlineStr">
        <is>
          <t>GSTIN of Supplier</t>
        </is>
      </c>
      <c r="D3" s="19" t="inlineStr">
        <is>
          <t>Invoice Number</t>
        </is>
      </c>
      <c r="E3" s="19" t="inlineStr">
        <is>
          <t>Invoice Date</t>
        </is>
      </c>
      <c r="F3" s="19" t="inlineStr">
        <is>
          <t>Taxable Value (₹)</t>
        </is>
      </c>
      <c r="G3" s="19" t="inlineStr">
        <is>
          <t>IGST (₹)</t>
        </is>
      </c>
      <c r="H3" s="19" t="inlineStr">
        <is>
          <t>CGST (₹)</t>
        </is>
      </c>
      <c r="I3" s="19" t="inlineStr">
        <is>
          <t>SGST (₹)</t>
        </is>
      </c>
      <c r="J3" s="19" t="inlineStr">
        <is>
          <t>Total ITC (₹)</t>
        </is>
      </c>
    </row>
    <row r="4" ht="18" customHeight="1">
      <c r="A4" s="11" t="n">
        <v>1</v>
      </c>
      <c r="B4" s="12" t="inlineStr">
        <is>
          <t>ABC Traders</t>
        </is>
      </c>
      <c r="C4" s="12" t="inlineStr">
        <is>
          <t>36AABCT1332L1Z7</t>
        </is>
      </c>
      <c r="D4" s="12" t="inlineStr">
        <is>
          <t>INV/2024/001</t>
        </is>
      </c>
      <c r="E4" s="12" t="inlineStr">
        <is>
          <t>01-04-2024</t>
        </is>
      </c>
      <c r="F4" s="13" t="n">
        <v>50000</v>
      </c>
      <c r="G4" s="13" t="n">
        <v>0</v>
      </c>
      <c r="H4" s="13" t="n">
        <v>4500</v>
      </c>
      <c r="I4" s="13" t="n">
        <v>4500</v>
      </c>
      <c r="J4" s="12">
        <f>G4+H4+I4</f>
        <v/>
      </c>
    </row>
    <row r="5" ht="18" customHeight="1">
      <c r="A5" s="14" t="n">
        <v>2</v>
      </c>
      <c r="B5" s="4" t="inlineStr">
        <is>
          <t>XYZ Supplies</t>
        </is>
      </c>
      <c r="C5" s="4" t="inlineStr">
        <is>
          <t>36AABCX5678M1Z3</t>
        </is>
      </c>
      <c r="D5" s="4" t="inlineStr">
        <is>
          <t>XYZ/24-25/045</t>
        </is>
      </c>
      <c r="E5" s="4" t="inlineStr">
        <is>
          <t>03-04-2024</t>
        </is>
      </c>
      <c r="F5" s="15" t="n">
        <v>25500</v>
      </c>
      <c r="G5" s="15" t="n">
        <v>4500</v>
      </c>
      <c r="H5" s="15" t="n">
        <v>0</v>
      </c>
      <c r="I5" s="15" t="n">
        <v>0</v>
      </c>
      <c r="J5" s="4">
        <f>G5+H5+I5</f>
        <v/>
      </c>
    </row>
    <row r="6" ht="18" customHeight="1">
      <c r="A6" s="11" t="n">
        <v>3</v>
      </c>
      <c r="B6" s="12" t="inlineStr">
        <is>
          <t>PQR Enterprises</t>
        </is>
      </c>
      <c r="C6" s="12" t="inlineStr">
        <is>
          <t>36AABCP9012N1Z1</t>
        </is>
      </c>
      <c r="D6" s="12" t="inlineStr">
        <is>
          <t>PQR-2024-112</t>
        </is>
      </c>
      <c r="E6" s="12" t="inlineStr">
        <is>
          <t>05-04-2024</t>
        </is>
      </c>
      <c r="F6" s="13" t="n">
        <v>75000</v>
      </c>
      <c r="G6" s="13" t="n">
        <v>13500</v>
      </c>
      <c r="H6" s="13" t="n">
        <v>0</v>
      </c>
      <c r="I6" s="13" t="n">
        <v>0</v>
      </c>
      <c r="J6" s="12">
        <f>G6+H6+I6</f>
        <v/>
      </c>
    </row>
    <row r="7" ht="22" customHeight="1">
      <c r="A7" s="16" t="inlineStr">
        <is>
          <t>TOTAL</t>
        </is>
      </c>
      <c r="F7" s="17">
        <f>SUM(F4:F6)</f>
        <v/>
      </c>
      <c r="G7" s="17">
        <f>SUM(G4:G6)</f>
        <v/>
      </c>
      <c r="H7" s="17">
        <f>SUM(H4:H6)</f>
        <v/>
      </c>
      <c r="I7" s="17">
        <f>SUM(I4:I6)</f>
        <v/>
      </c>
      <c r="J7" s="17">
        <f>SUM(J4:J6)</f>
        <v/>
      </c>
    </row>
  </sheetData>
  <mergeCells count="3">
    <mergeCell ref="A1:J1"/>
    <mergeCell ref="A7:E7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M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8" customWidth="1" min="4" max="4"/>
    <col width="13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  <col width="38" customWidth="1" min="13" max="13"/>
  </cols>
  <sheetData>
    <row r="1" ht="30" customHeight="1">
      <c r="A1" s="8" t="inlineStr">
        <is>
          <t>RECONCILIATION — Purchase Register vs GSTR-2A and GSTR-2B</t>
        </is>
      </c>
    </row>
    <row r="2" ht="16" customHeight="1">
      <c r="A2" s="9" t="inlineStr">
        <is>
          <t>Every invoice from your Purchase Register is matched against both 2A and 2B. Colour coded for instant action.</t>
        </is>
      </c>
    </row>
    <row r="3" ht="28" customHeight="1">
      <c r="A3" s="10" t="inlineStr">
        <is>
          <t>#</t>
        </is>
      </c>
      <c r="B3" s="10" t="inlineStr">
        <is>
          <t>GSTIN</t>
        </is>
      </c>
      <c r="C3" s="10" t="inlineStr">
        <is>
          <t>Supplier Name</t>
        </is>
      </c>
      <c r="D3" s="10" t="inlineStr">
        <is>
          <t>Invoice No</t>
        </is>
      </c>
      <c r="E3" s="10" t="inlineStr">
        <is>
          <t>Date</t>
        </is>
      </c>
      <c r="F3" s="10" t="inlineStr">
        <is>
          <t>ITC as per PR (₹)</t>
        </is>
      </c>
      <c r="G3" s="10" t="inlineStr">
        <is>
          <t>ITC as per 2A (₹)</t>
        </is>
      </c>
      <c r="H3" s="10" t="inlineStr">
        <is>
          <t>ITC as per 2B (₹)</t>
        </is>
      </c>
      <c r="I3" s="10" t="inlineStr">
        <is>
          <t>Diff vs 2A (₹)</t>
        </is>
      </c>
      <c r="J3" s="10" t="inlineStr">
        <is>
          <t>Diff vs 2B (₹)</t>
        </is>
      </c>
      <c r="K3" s="10" t="inlineStr">
        <is>
          <t>ITC at Risk (₹)</t>
        </is>
      </c>
      <c r="L3" s="10" t="inlineStr">
        <is>
          <t>Status</t>
        </is>
      </c>
      <c r="M3" s="10" t="inlineStr">
        <is>
          <t>Action Required</t>
        </is>
      </c>
    </row>
    <row r="4" ht="18" customHeight="1">
      <c r="A4" s="20" t="inlineStr">
        <is>
          <t xml:space="preserve">  ✅ MATCHED in both 2A &amp; 2B   |   🟡 VALUE MISMATCH   |   🔴 MISSING in 2A/2B (ITC at risk)   |   🔵 EXCESS in 2A/2B (not in PR)</t>
        </is>
      </c>
    </row>
    <row r="5" ht="28" customHeight="1">
      <c r="A5" s="21" t="n">
        <v>1</v>
      </c>
      <c r="B5" s="22" t="inlineStr">
        <is>
          <t>36AABCT1332L1Z7</t>
        </is>
      </c>
      <c r="C5" s="22" t="inlineStr">
        <is>
          <t>ABC Traders</t>
        </is>
      </c>
      <c r="D5" s="22" t="inlineStr">
        <is>
          <t>INV/2024/001</t>
        </is>
      </c>
      <c r="E5" s="22" t="inlineStr">
        <is>
          <t>01-04-2024</t>
        </is>
      </c>
      <c r="F5" s="23" t="n">
        <v>9000</v>
      </c>
      <c r="G5" s="23" t="n">
        <v>9000</v>
      </c>
      <c r="H5" s="23" t="n">
        <v>9000</v>
      </c>
      <c r="I5" s="23" t="n">
        <v>0</v>
      </c>
      <c r="J5" s="23" t="n">
        <v>0</v>
      </c>
      <c r="K5" s="23" t="n">
        <v>0</v>
      </c>
      <c r="L5" s="24" t="inlineStr">
        <is>
          <t>✅ Matched in 2A &amp; 2B</t>
        </is>
      </c>
      <c r="M5" s="22" t="inlineStr">
        <is>
          <t>No action required</t>
        </is>
      </c>
    </row>
    <row r="6" ht="28" customHeight="1">
      <c r="A6" s="21" t="n">
        <v>2</v>
      </c>
      <c r="B6" s="22" t="inlineStr">
        <is>
          <t>36AABCX5678M1Z3</t>
        </is>
      </c>
      <c r="C6" s="22" t="inlineStr">
        <is>
          <t>XYZ Supplies</t>
        </is>
      </c>
      <c r="D6" s="22" t="inlineStr">
        <is>
          <t>XYZ/24-25/045</t>
        </is>
      </c>
      <c r="E6" s="22" t="inlineStr">
        <is>
          <t>03-04-2024</t>
        </is>
      </c>
      <c r="F6" s="23" t="n">
        <v>4500</v>
      </c>
      <c r="G6" s="23" t="n">
        <v>4500</v>
      </c>
      <c r="H6" s="23" t="n">
        <v>4500</v>
      </c>
      <c r="I6" s="23" t="n">
        <v>0</v>
      </c>
      <c r="J6" s="23" t="n">
        <v>0</v>
      </c>
      <c r="K6" s="23" t="n">
        <v>0</v>
      </c>
      <c r="L6" s="24" t="inlineStr">
        <is>
          <t>✅ Matched in 2A &amp; 2B</t>
        </is>
      </c>
      <c r="M6" s="22" t="inlineStr">
        <is>
          <t>No action required</t>
        </is>
      </c>
    </row>
    <row r="7" ht="28" customHeight="1">
      <c r="A7" s="21" t="n">
        <v>3</v>
      </c>
      <c r="B7" s="22" t="inlineStr">
        <is>
          <t>36AABCP9012N1Z1</t>
        </is>
      </c>
      <c r="C7" s="22" t="inlineStr">
        <is>
          <t>PQR Enterprises</t>
        </is>
      </c>
      <c r="D7" s="22" t="inlineStr">
        <is>
          <t>PQR-2024-112</t>
        </is>
      </c>
      <c r="E7" s="22" t="inlineStr">
        <is>
          <t>05-04-2024</t>
        </is>
      </c>
      <c r="F7" s="23" t="n">
        <v>13500</v>
      </c>
      <c r="G7" s="23" t="n">
        <v>13500</v>
      </c>
      <c r="H7" s="23" t="n">
        <v>13500</v>
      </c>
      <c r="I7" s="23" t="n">
        <v>0</v>
      </c>
      <c r="J7" s="23" t="n">
        <v>0</v>
      </c>
      <c r="K7" s="23" t="n">
        <v>0</v>
      </c>
      <c r="L7" s="24" t="inlineStr">
        <is>
          <t>✅ Matched in 2A &amp; 2B</t>
        </is>
      </c>
      <c r="M7" s="22" t="inlineStr">
        <is>
          <t>No action required</t>
        </is>
      </c>
    </row>
    <row r="8" ht="28" customHeight="1">
      <c r="A8" s="25" t="n">
        <v>4</v>
      </c>
      <c r="B8" s="26" t="inlineStr">
        <is>
          <t>36AABCL3456Q1Z5</t>
        </is>
      </c>
      <c r="C8" s="26" t="inlineStr">
        <is>
          <t>LMN Solutions</t>
        </is>
      </c>
      <c r="D8" s="26" t="inlineStr">
        <is>
          <t>LMN/APR/078</t>
        </is>
      </c>
      <c r="E8" s="26" t="inlineStr">
        <is>
          <t>08-04-2024</t>
        </is>
      </c>
      <c r="F8" s="27" t="n">
        <v>5400</v>
      </c>
      <c r="G8" s="27" t="n">
        <v>0</v>
      </c>
      <c r="H8" s="27" t="n">
        <v>0</v>
      </c>
      <c r="I8" s="28" t="n">
        <v>-5400</v>
      </c>
      <c r="J8" s="28" t="n">
        <v>-5400</v>
      </c>
      <c r="K8" s="29" t="n">
        <v>5400</v>
      </c>
      <c r="L8" s="30" t="inlineStr">
        <is>
          <t>🔴 Missing in 2A &amp; 2B</t>
        </is>
      </c>
      <c r="M8" s="26" t="inlineStr">
        <is>
          <t>Follow up with supplier — GSTR-1 not filed. ITC of ₹5,400 at risk. Send reminder before filing date.</t>
        </is>
      </c>
    </row>
    <row r="9" ht="28" customHeight="1">
      <c r="A9" s="25" t="n">
        <v>5</v>
      </c>
      <c r="B9" s="26" t="inlineStr">
        <is>
          <t>36AABCD7890R1Z9</t>
        </is>
      </c>
      <c r="C9" s="26" t="inlineStr">
        <is>
          <t>DEF Industries</t>
        </is>
      </c>
      <c r="D9" s="26" t="inlineStr">
        <is>
          <t>DEF-24-056</t>
        </is>
      </c>
      <c r="E9" s="26" t="inlineStr">
        <is>
          <t>10-04-2024</t>
        </is>
      </c>
      <c r="F9" s="27" t="n">
        <v>8100</v>
      </c>
      <c r="G9" s="27" t="n">
        <v>0</v>
      </c>
      <c r="H9" s="27" t="n">
        <v>0</v>
      </c>
      <c r="I9" s="28" t="n">
        <v>-8100</v>
      </c>
      <c r="J9" s="28" t="n">
        <v>-8100</v>
      </c>
      <c r="K9" s="29" t="n">
        <v>8100</v>
      </c>
      <c r="L9" s="30" t="inlineStr">
        <is>
          <t>🔴 Missing in 2A &amp; 2B</t>
        </is>
      </c>
      <c r="M9" s="26" t="inlineStr">
        <is>
          <t>Follow up with supplier — GSTR-1 not filed. ITC of ₹8,100 at risk. Consider holding payment until filed.</t>
        </is>
      </c>
    </row>
    <row r="10" ht="28" customHeight="1">
      <c r="A10" s="31" t="n">
        <v>6</v>
      </c>
      <c r="B10" s="32" t="inlineStr">
        <is>
          <t>36AABCG1234S1Z2</t>
        </is>
      </c>
      <c r="C10" s="32" t="inlineStr">
        <is>
          <t>GHI Traders</t>
        </is>
      </c>
      <c r="D10" s="32" t="inlineStr">
        <is>
          <t>GHI/APR/033</t>
        </is>
      </c>
      <c r="E10" s="32" t="inlineStr">
        <is>
          <t>12-04-2024</t>
        </is>
      </c>
      <c r="F10" s="33" t="n">
        <v>0</v>
      </c>
      <c r="G10" s="33" t="n">
        <v>3600</v>
      </c>
      <c r="H10" s="33" t="n">
        <v>0</v>
      </c>
      <c r="I10" s="34" t="n">
        <v>3600</v>
      </c>
      <c r="J10" s="33" t="n">
        <v>0</v>
      </c>
      <c r="K10" s="33" t="n">
        <v>0</v>
      </c>
      <c r="L10" s="35" t="inlineStr">
        <is>
          <t>🔵 Excess in 2A only</t>
        </is>
      </c>
      <c r="M10" s="32" t="inlineStr">
        <is>
          <t>Invoice in 2A but not in Purchase Register. Verify with accounts team — add to PR if valid.</t>
        </is>
      </c>
    </row>
    <row r="11" ht="28" customHeight="1">
      <c r="A11" s="36" t="n">
        <v>7</v>
      </c>
      <c r="B11" s="37" t="inlineStr">
        <is>
          <t>36AABCX5678M1Z3</t>
        </is>
      </c>
      <c r="C11" s="37" t="inlineStr">
        <is>
          <t>XYZ Supplies</t>
        </is>
      </c>
      <c r="D11" s="37" t="inlineStr">
        <is>
          <t>XYZ/24-25/045</t>
        </is>
      </c>
      <c r="E11" s="37" t="inlineStr">
        <is>
          <t>03-04-2024</t>
        </is>
      </c>
      <c r="F11" s="38" t="n">
        <v>4500</v>
      </c>
      <c r="G11" s="38" t="n">
        <v>4500</v>
      </c>
      <c r="H11" s="38" t="n">
        <v>4590</v>
      </c>
      <c r="I11" s="38" t="n">
        <v>0</v>
      </c>
      <c r="J11" s="39" t="n">
        <v>90</v>
      </c>
      <c r="K11" s="38" t="n">
        <v>0</v>
      </c>
      <c r="L11" s="40" t="inlineStr">
        <is>
          <t>🟡 Value mismatch in 2B</t>
        </is>
      </c>
      <c r="M11" s="37" t="inlineStr">
        <is>
          <t>ITC in 2B (₹4,590) differs from PR (₹4,500). Difference of ₹90. Verify invoice — may be rounding or amended return.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/>
  </sheetPr>
  <dimension ref="B1:C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0" customWidth="1" min="3" max="3"/>
    <col width="2" customWidth="1" min="4" max="4"/>
  </cols>
  <sheetData>
    <row r="1" ht="22" customHeight="1">
      <c r="B1" s="1" t="inlineStr">
        <is>
          <t>GST RECONCILIATION SUMMARY</t>
        </is>
      </c>
    </row>
    <row r="2" ht="22" customHeight="1"/>
    <row r="3" ht="15" customHeight="1">
      <c r="B3" s="2" t="inlineStr">
        <is>
          <t>Bhavna &amp; Co. | Chartered Accountants | bhavnaandco.com</t>
        </is>
      </c>
    </row>
    <row r="4" ht="10" customHeight="1"/>
    <row r="5" ht="20" customHeight="1">
      <c r="B5" s="41" t="inlineStr">
        <is>
          <t>Period</t>
        </is>
      </c>
      <c r="C5" s="42" t="inlineStr">
        <is>
          <t>April 2024</t>
        </is>
      </c>
    </row>
    <row r="6" ht="8" customHeight="1"/>
    <row r="7" ht="22" customHeight="1">
      <c r="B7" s="43" t="inlineStr">
        <is>
          <t>Total ITC as per Purchase Register (₹)</t>
        </is>
      </c>
      <c r="C7" s="44" t="n">
        <v>40500</v>
      </c>
    </row>
    <row r="8" ht="22" customHeight="1">
      <c r="B8" s="45" t="inlineStr">
        <is>
          <t>Total ITC as per GSTR-2A (₹)</t>
        </is>
      </c>
      <c r="C8" s="46" t="n">
        <v>30600</v>
      </c>
    </row>
    <row r="9" ht="22" customHeight="1">
      <c r="B9" s="47" t="inlineStr">
        <is>
          <t>Total ITC as per GSTR-2B (₹)</t>
        </is>
      </c>
      <c r="C9" s="48" t="n">
        <v>27090</v>
      </c>
    </row>
    <row r="10" ht="8" customHeight="1">
      <c r="B10" s="49" t="inlineStr"/>
      <c r="C10" s="50" t="n"/>
    </row>
    <row r="11" ht="22" customHeight="1">
      <c r="B11" s="51" t="inlineStr">
        <is>
          <t>ITC Matched — Both 2A and 2B (₹)</t>
        </is>
      </c>
      <c r="C11" s="52" t="n">
        <v>27000</v>
      </c>
    </row>
    <row r="12" ht="22" customHeight="1">
      <c r="B12" s="53" t="inlineStr">
        <is>
          <t>ITC Matched — 2A only (₹)</t>
        </is>
      </c>
      <c r="C12" s="52" t="n">
        <v>3600</v>
      </c>
    </row>
    <row r="13" ht="22" customHeight="1">
      <c r="B13" s="53" t="inlineStr">
        <is>
          <t>ITC Matched — 2B only (₹)</t>
        </is>
      </c>
      <c r="C13" s="52" t="n">
        <v>0</v>
      </c>
    </row>
    <row r="14" ht="22" customHeight="1">
      <c r="B14" s="54" t="inlineStr">
        <is>
          <t>ITC Value Mismatch — Needs Verification (₹)</t>
        </is>
      </c>
      <c r="C14" s="55" t="n">
        <v>90</v>
      </c>
    </row>
    <row r="15" ht="22" customHeight="1">
      <c r="B15" s="56" t="inlineStr">
        <is>
          <t>ITC Missing in 2A and 2B — At Risk (₹)</t>
        </is>
      </c>
      <c r="C15" s="57" t="n">
        <v>13500</v>
      </c>
    </row>
    <row r="16" ht="22" customHeight="1">
      <c r="B16" s="58" t="inlineStr">
        <is>
          <t>Excess ITC in 2A/2B — Not in PR (₹)</t>
        </is>
      </c>
      <c r="C16" s="59" t="n">
        <v>3600</v>
      </c>
    </row>
    <row r="17" ht="10" customHeight="1"/>
    <row r="18" ht="20" customHeight="1">
      <c r="B18" s="60" t="inlineStr">
        <is>
          <t>ACTIONS REQUIRED</t>
        </is>
      </c>
    </row>
    <row r="19" ht="26" customHeight="1">
      <c r="B19" s="26" t="inlineStr">
        <is>
          <t>1. LMN Solutions (LMN/APR/078) — GSTR-1 not filed. ITC ₹5,400 at risk. Follow up immediately.</t>
        </is>
      </c>
    </row>
    <row r="21" ht="26" customHeight="1">
      <c r="B21" s="26" t="inlineStr">
        <is>
          <t>2. DEF Industries (DEF-24-056) — GSTR-1 not filed. ITC ₹8,100 at risk. Consider holding payment.</t>
        </is>
      </c>
    </row>
    <row r="23" ht="26" customHeight="1">
      <c r="B23" s="26" t="inlineStr">
        <is>
          <t>3. GHI Traders (GHI/APR/033) — In 2A but not in Purchase Register. Verify and add if valid.</t>
        </is>
      </c>
    </row>
    <row r="25" ht="26" customHeight="1">
      <c r="B25" s="26" t="inlineStr">
        <is>
          <t>4. XYZ Supplies (XYZ/24-25/045) — ₹90 value difference in 2B. Verify invoice or check amended return.</t>
        </is>
      </c>
    </row>
    <row r="27" ht="8" customHeight="1"/>
    <row r="28">
      <c r="B28" s="61" t="inlineStr">
        <is>
          <t>Bhavna &amp; Co. | info@bhavnaandco.com | +91 96666 45640 | bhavnaandco.com</t>
        </is>
      </c>
    </row>
  </sheetData>
  <mergeCells count="8">
    <mergeCell ref="B21:C21"/>
    <mergeCell ref="B25:C25"/>
    <mergeCell ref="B3:C3"/>
    <mergeCell ref="B19:C19"/>
    <mergeCell ref="B1:C2"/>
    <mergeCell ref="B28:C28"/>
    <mergeCell ref="B23:C23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2026-05-16T08:10:17Z</dcterms:created>
  <dcterms:modified xmlns:dcterms="http://purl.org/dc/terms/" xmlns:xsi="http://www.w3.org/2001/XMLSchema-instance" xsi:type="dcterms:W3CDTF">2026-05-16T08:10:17Z</dcterms:modified>
</cp:coreProperties>
</file>